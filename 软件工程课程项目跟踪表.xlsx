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activeTab="1"/>
  </bookViews>
  <sheets>
    <sheet name="项目整体跟踪表" sheetId="2" r:id="rId1"/>
    <sheet name="项目里程碑进度表" sheetId="4" r:id="rId2"/>
    <sheet name="填写说明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<sst xmlns="http://schemas.openxmlformats.org/spreadsheetml/2006/main" count="380" uniqueCount="162">
  <si>
    <t>软件工程课程项目跟踪表</t>
  </si>
  <si>
    <t>序号</t>
  </si>
  <si>
    <t>项目阶段/里程碑</t>
  </si>
  <si>
    <t>工作任务明细</t>
  </si>
  <si>
    <t>负责人</t>
  </si>
  <si>
    <t>计划工作量(人天)</t>
  </si>
  <si>
    <t>实际工作量(人天)</t>
  </si>
  <si>
    <t>计划开始日期</t>
  </si>
  <si>
    <t>计划结束日期</t>
  </si>
  <si>
    <t>实际开始日期</t>
  </si>
  <si>
    <t>实际结束日期</t>
  </si>
  <si>
    <t>进度状态</t>
  </si>
  <si>
    <t>完成百分比</t>
  </si>
  <si>
    <t>备注/交付物</t>
  </si>
  <si>
    <t>1</t>
  </si>
  <si>
    <t>项目启动阶段</t>
  </si>
  <si>
    <t>团队组建与分工，确定组长与协作规则</t>
  </si>
  <si>
    <t>向尚</t>
  </si>
  <si>
    <t>2026.3.13</t>
  </si>
  <si>
    <t>2026.3.20</t>
  </si>
  <si>
    <t>已完成</t>
  </si>
  <si>
    <t>团队名单、分工表</t>
  </si>
  <si>
    <t>2</t>
  </si>
  <si>
    <t>项目选题讨论，确定项目方向与核心需求</t>
  </si>
  <si>
    <t>项目选题说明文档</t>
  </si>
  <si>
    <t>3</t>
  </si>
  <si>
    <t>协作开发平台选型，创建项目仓库与权限配置</t>
  </si>
  <si>
    <t>项目仓库地址、成员账号清单</t>
  </si>
  <si>
    <t>4</t>
  </si>
  <si>
    <t>项目可行性分析，编写可行性分析报告初稿</t>
  </si>
  <si>
    <t>可行性分析报告初稿</t>
  </si>
  <si>
    <t>5</t>
  </si>
  <si>
    <t>项目调研与修订阶段</t>
  </si>
  <si>
    <t>项目需求持续沟通与调研，补充调整项目内容</t>
  </si>
  <si>
    <t>张子旺</t>
  </si>
  <si>
    <t>2026.3.27</t>
  </si>
  <si>
    <t>需求调研记录</t>
  </si>
  <si>
    <t>6</t>
  </si>
  <si>
    <t>CASE工具调研，分析主流工具的用途与特点</t>
  </si>
  <si>
    <t>CASE工具调研报告</t>
  </si>
  <si>
    <t>7</t>
  </si>
  <si>
    <t>结合项目选型CASE工具，补充完善可行性分析报告</t>
  </si>
  <si>
    <t>可行性分析报告修订版</t>
  </si>
  <si>
    <t>8</t>
  </si>
  <si>
    <t>项目规划阶段</t>
  </si>
  <si>
    <t>传统开发模型与敏捷开发方法对比研讨</t>
  </si>
  <si>
    <t>钟积润</t>
  </si>
  <si>
    <t>2206.4.3</t>
  </si>
  <si>
    <t>开发方法对比分析文档</t>
  </si>
  <si>
    <t>9</t>
  </si>
  <si>
    <t>Scrum开发方法学习，确定项目迭代规则</t>
  </si>
  <si>
    <t>项目迭代计划</t>
  </si>
  <si>
    <t>10</t>
  </si>
  <si>
    <t>项目风险识别与分级，制定风险应对预案</t>
  </si>
  <si>
    <t>项目风险管理表</t>
  </si>
  <si>
    <t>11</t>
  </si>
  <si>
    <t>完成可行性分析报告终稿并提交</t>
  </si>
  <si>
    <t>可行性分析报告终稿</t>
  </si>
  <si>
    <t>12</t>
  </si>
  <si>
    <t>项目活动分解阶段</t>
  </si>
  <si>
    <t>XP开发方法与DevOps理念学习</t>
  </si>
  <si>
    <t>马塾为</t>
  </si>
  <si>
    <t>2026.4.3</t>
  </si>
  <si>
    <t>2026.4.10</t>
  </si>
  <si>
    <t>学习笔记、方法应用方案</t>
  </si>
  <si>
    <t>13</t>
  </si>
  <si>
    <t>项目工作活动分解，拆分最小工作单元</t>
  </si>
  <si>
    <t>项目工作分解结构WBS</t>
  </si>
  <si>
    <t>各任务工作量估算，制定项目进度计划</t>
  </si>
  <si>
    <t>项目进度计划表</t>
  </si>
  <si>
    <t>15</t>
  </si>
  <si>
    <t>绘制项目活动图，识别关键路径</t>
  </si>
  <si>
    <t>项目活动图、关键路径分析报告</t>
  </si>
  <si>
    <t>理解活动图, 项目过程跟踪工具, 人力资源组织结构</t>
  </si>
  <si>
    <t>活动图分析与关键路径计算</t>
  </si>
  <si>
    <t>2026.4.24</t>
  </si>
  <si>
    <t>活动图分析计算的结果</t>
  </si>
  <si>
    <t>17</t>
  </si>
  <si>
    <t>项目跟踪工具练习</t>
  </si>
  <si>
    <t>无</t>
  </si>
  <si>
    <t>国内外开发团队管理方式调研</t>
  </si>
  <si>
    <t>19</t>
  </si>
  <si>
    <t>个人工作方式与团队管理分析</t>
  </si>
  <si>
    <t>项目估算与风险管理阶段</t>
  </si>
  <si>
    <t>基于COCOMOII模型完成项目工作量估算</t>
  </si>
  <si>
    <t>楼展兵</t>
  </si>
  <si>
    <t>2026.5.1</t>
  </si>
  <si>
    <t>项目工作量估算报告</t>
  </si>
  <si>
    <t>21</t>
  </si>
  <si>
    <t>项目风险细化管理，更新风险分级与应对预案</t>
  </si>
  <si>
    <t>更新后的风险管理表</t>
  </si>
  <si>
    <t>软件需求规格说明SRS文档规范学习</t>
  </si>
  <si>
    <t>SRS规范学习笔记、文档模板</t>
  </si>
  <si>
    <t>23</t>
  </si>
  <si>
    <t>需求分析与静态建模阶段</t>
  </si>
  <si>
    <t>SRS文档编写案例搜集与分析</t>
  </si>
  <si>
    <t>2026.5.8</t>
  </si>
  <si>
    <t>SRS优秀案例合集</t>
  </si>
  <si>
    <t>编写项目SRS文档初稿（大纲）</t>
  </si>
  <si>
    <t>2026.5.14</t>
  </si>
  <si>
    <t>SRS文档初稿</t>
  </si>
  <si>
    <t>25</t>
  </si>
  <si>
    <t>需求规范对比分析，补充完善SRS文档结构</t>
  </si>
  <si>
    <t>SRS文档修订版</t>
  </si>
  <si>
    <t>项目静态建模（E-R图、UML类图/用例图）</t>
  </si>
  <si>
    <t>项目静态模型文件、建模说明</t>
  </si>
  <si>
    <t>27</t>
  </si>
  <si>
    <t>需求完善与动态建模阶段</t>
  </si>
  <si>
    <t>Petri网等动态建模方法学习</t>
  </si>
  <si>
    <t>2026.5.15</t>
  </si>
  <si>
    <t>2026.5.22</t>
  </si>
  <si>
    <t>动态建模方法学习笔记</t>
  </si>
  <si>
    <t>项目动态建模（状态图、Petri网、数据流图）</t>
  </si>
  <si>
    <t>项目动态模型文件、建模说明</t>
  </si>
  <si>
    <t>29</t>
  </si>
  <si>
    <t>结合建模结果，补充完善SRS文档内容</t>
  </si>
  <si>
    <t>SRS文档终稿</t>
  </si>
  <si>
    <t>项目全流程文档整理与归档</t>
  </si>
  <si>
    <t>项目全流程文档包</t>
  </si>
  <si>
    <t>项目关键里程碑进度表</t>
  </si>
  <si>
    <t>里程碑名称</t>
  </si>
  <si>
    <t>核心交付物</t>
  </si>
  <si>
    <t>计划完成日期</t>
  </si>
  <si>
    <t>实际完成日期</t>
  </si>
  <si>
    <t>状态</t>
  </si>
  <si>
    <t>完成情况说明</t>
  </si>
  <si>
    <t>项目启动完成</t>
  </si>
  <si>
    <t>团队名单、项目选题说明、可行性分析报告初稿</t>
  </si>
  <si>
    <t>完成</t>
  </si>
  <si>
    <t>可行性分析报告终稿提交</t>
  </si>
  <si>
    <t>可行性分析报告终稿、CASE工具调研报告</t>
  </si>
  <si>
    <t>项目规划与活动分解完成</t>
  </si>
  <si>
    <t>项目WBS、进度计划表、活动图与关键路径分析报告</t>
  </si>
  <si>
    <t>项目工作量与风险管理完成</t>
  </si>
  <si>
    <t>工作量估算报告、最终版风险管理表</t>
  </si>
  <si>
    <t>SRS文档初稿完成</t>
  </si>
  <si>
    <t>SRS文档初稿、项目静态模型文件</t>
  </si>
  <si>
    <t>SRS文档终稿完成</t>
  </si>
  <si>
    <t>SRS文档终稿、项目动态模型文件</t>
  </si>
  <si>
    <t>项目全流程交付完成</t>
  </si>
  <si>
    <t>项目全流程文档包、所有交付物归档</t>
  </si>
  <si>
    <t>未完成</t>
  </si>
  <si>
    <t>表格填写说明</t>
  </si>
  <si>
    <t>一、表格整体结构</t>
  </si>
  <si>
    <t>本Excel文件包含4个工作表，分别为：
1. 项目整体跟踪表：核心任务跟踪表，记录所有工作任务的进度、工作量、负责人等信息
2. 成员工作量汇总表：自动统计每个成员的计划/实际工作量、任务完成情况
3. 项目里程碑进度表：关键节点的完成情况跟踪
4. 填写说明：本表格的使用规则与填写说明</t>
  </si>
  <si>
    <t>二、核心字段填写规则</t>
  </si>
  <si>
    <t>1. 负责人</t>
  </si>
  <si>
    <t>填写对应任务的负责成员姓名，需与「成员工作量汇总表」中的姓名保持一致，支持多人填写（用顿号分隔）</t>
  </si>
  <si>
    <t>2. 工作量</t>
  </si>
  <si>
    <t>统一使用「人天」作为单位，1人天=8小时，可根据实际情况填写小数（如0.5人天）</t>
  </si>
  <si>
    <t>3. 日期字段</t>
  </si>
  <si>
    <t>统一使用YYYY-MM-DD格式填写，如2025-05-20</t>
  </si>
  <si>
    <t>4. 进度状态</t>
  </si>
  <si>
    <t>通过下拉列表选择，共有4个选项：
- 未开始：任务尚未启动
- 进行中：任务正在执行，未完成
- 已完成：任务全部完成，交付物已提交
- 延期：任务超过计划结束日期仍未完成</t>
  </si>
  <si>
    <t>5. 完成百分比</t>
  </si>
  <si>
    <t>由公式自动计算，无需手动填写：
- 未开始：0%
- 进行中：50%
- 已完成：100%
- 延期：0%</t>
  </si>
  <si>
    <t>6. 备注/交付物</t>
  </si>
  <si>
    <t>填写该任务的核心交付物名称、特殊说明、遇到的问题等信息</t>
  </si>
  <si>
    <t>三、自动计算功能说明</t>
  </si>
  <si>
    <t>1. 「成员工作量汇总表」中的所有数据均为自动计算，无需手动填写，修改「项目整体跟踪表」中的负责人、工作量后会自动更新
2. 完成百分比、工作量合计、任务数统计均使用Excel公式实现，修改对应数据后会自动重算
3. 请勿修改或删除公式单元格，否则会导致自动计算功能失效</t>
  </si>
  <si>
    <t>四、使用建议</t>
  </si>
  <si>
    <t>1. 每周更新一次表格，同步最新的任务进度、实际工作量、完成情况
2. 任务完成后及时更新状态为「已完成」，并填写实际完成日期和实际工作量
3. 遇到任务延期、风险等情况，及时在备注中说明，并更新风险管理表
4. 所有交付物完成后，及时归档到项目仓库，并在表格中记录仓库地址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</si>
</sst>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0"/>
      <color theme="1"/>
      <name val="等线"/>
      <charset val="134"/>
      <scheme val="minor"/>
    </font>
    <font>
      <b/>
      <sz val="14"/>
      <color rgb="FFFFFFFF"/>
      <name val="微软雅黑"/>
      <charset val="134"/>
    </font>
    <font>
      <b/>
      <sz val="11"/>
      <color rgb="FF333333"/>
      <name val="微软雅黑"/>
      <charset val="134"/>
    </font>
    <font>
      <sz val="10"/>
      <color rgb="FF333333"/>
      <name val="微软雅黑"/>
      <charset val="134"/>
    </font>
    <font>
      <b/>
      <sz val="11"/>
      <color rgb="FFFFFFFF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EBF1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3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right" vertical="center" wrapText="1"/>
    </xf>
    <xf numFmtId="0" fontId="3" fillId="0" borderId="1" xfId="0" applyFont="1" applyBorder="1" applyAlignment="1">
      <alignment horizontal="right" vertical="center" wrapText="1"/>
    </xf>
    <xf numFmtId="9" fontId="3" fillId="4" borderId="1" xfId="0" applyNumberFormat="1" applyFont="1" applyFill="1" applyBorder="1" applyAlignment="1">
      <alignment horizontal="right" vertical="center" wrapText="1"/>
    </xf>
    <xf numFmtId="9" fontId="3" fillId="0" borderId="1" xfId="0" applyNumberFormat="1" applyFont="1" applyBorder="1" applyAlignment="1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32"/>
  <sheetViews>
    <sheetView workbookViewId="0">
      <pane xSplit="3" ySplit="2" topLeftCell="G15" activePane="bottomRight" state="frozen"/>
      <selection/>
      <selection pane="topRight"/>
      <selection pane="bottomLeft"/>
      <selection pane="bottomRight" activeCell="J29" sqref="J29"/>
    </sheetView>
  </sheetViews>
  <sheetFormatPr defaultColWidth="14" defaultRowHeight="13.2"/>
  <cols>
    <col min="1" max="1" width="28" customWidth="1"/>
    <col min="2" max="2" width="45.4259259259259" customWidth="1"/>
    <col min="3" max="3" width="51" customWidth="1"/>
    <col min="4" max="4" width="10" customWidth="1"/>
    <col min="5" max="6" width="21" customWidth="1"/>
    <col min="7" max="10" width="17" customWidth="1"/>
    <col min="11" max="11" width="12" customWidth="1"/>
    <col min="12" max="12" width="51" customWidth="1"/>
    <col min="13" max="13" width="34" customWidth="1"/>
  </cols>
  <sheetData>
    <row r="1" ht="38" customHeight="1" spans="1:1">
      <c r="A1" s="1" t="s">
        <v>0</v>
      </c>
    </row>
    <row r="2" ht="29" customHeight="1" spans="1:13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</row>
    <row r="3" ht="15" customHeight="1" spans="1:13">
      <c r="A3" s="5" t="s">
        <v>14</v>
      </c>
      <c r="B3" s="6" t="s">
        <v>15</v>
      </c>
      <c r="C3" s="6" t="s">
        <v>16</v>
      </c>
      <c r="D3" s="5" t="s">
        <v>17</v>
      </c>
      <c r="E3" s="9">
        <v>1</v>
      </c>
      <c r="F3" s="9"/>
      <c r="G3" s="5" t="s">
        <v>18</v>
      </c>
      <c r="H3" s="5" t="s">
        <v>19</v>
      </c>
      <c r="I3" s="5" t="s">
        <v>18</v>
      </c>
      <c r="J3" s="5" t="s">
        <v>19</v>
      </c>
      <c r="K3" s="5" t="s">
        <v>20</v>
      </c>
      <c r="L3" s="11">
        <f t="shared" ref="L3:L32" si="0">IF(K3="已完成",1,IF(K3="未开始",0,IF(K3="进行中",0.5,0)))</f>
        <v>1</v>
      </c>
      <c r="M3" s="6" t="s">
        <v>21</v>
      </c>
    </row>
    <row r="4" ht="15" customHeight="1" spans="1:13">
      <c r="A4" s="7" t="s">
        <v>22</v>
      </c>
      <c r="B4" s="8" t="s">
        <v>15</v>
      </c>
      <c r="C4" s="8" t="s">
        <v>23</v>
      </c>
      <c r="D4" s="5" t="s">
        <v>17</v>
      </c>
      <c r="E4" s="10">
        <v>2</v>
      </c>
      <c r="F4" s="10"/>
      <c r="G4" s="7" t="s">
        <v>18</v>
      </c>
      <c r="H4" s="7" t="s">
        <v>19</v>
      </c>
      <c r="I4" s="5" t="s">
        <v>18</v>
      </c>
      <c r="J4" s="5" t="s">
        <v>19</v>
      </c>
      <c r="K4" s="7" t="s">
        <v>20</v>
      </c>
      <c r="L4" s="12">
        <f t="shared" si="0"/>
        <v>1</v>
      </c>
      <c r="M4" s="8" t="s">
        <v>24</v>
      </c>
    </row>
    <row r="5" ht="15" customHeight="1" spans="1:13">
      <c r="A5" s="5" t="s">
        <v>25</v>
      </c>
      <c r="B5" s="6" t="s">
        <v>15</v>
      </c>
      <c r="C5" s="6" t="s">
        <v>26</v>
      </c>
      <c r="D5" s="5" t="s">
        <v>17</v>
      </c>
      <c r="E5" s="9">
        <v>1</v>
      </c>
      <c r="F5" s="9"/>
      <c r="G5" s="5" t="s">
        <v>18</v>
      </c>
      <c r="H5" s="5" t="s">
        <v>19</v>
      </c>
      <c r="I5" s="5" t="s">
        <v>18</v>
      </c>
      <c r="J5" s="5" t="s">
        <v>19</v>
      </c>
      <c r="K5" s="5" t="s">
        <v>20</v>
      </c>
      <c r="L5" s="11">
        <f t="shared" si="0"/>
        <v>1</v>
      </c>
      <c r="M5" s="6" t="s">
        <v>27</v>
      </c>
    </row>
    <row r="6" ht="15" customHeight="1" spans="1:13">
      <c r="A6" s="7" t="s">
        <v>28</v>
      </c>
      <c r="B6" s="8" t="s">
        <v>15</v>
      </c>
      <c r="C6" s="8" t="s">
        <v>29</v>
      </c>
      <c r="D6" s="5" t="s">
        <v>17</v>
      </c>
      <c r="E6" s="10">
        <v>3</v>
      </c>
      <c r="F6" s="10"/>
      <c r="G6" s="7" t="s">
        <v>18</v>
      </c>
      <c r="H6" s="7" t="s">
        <v>19</v>
      </c>
      <c r="I6" s="7" t="s">
        <v>18</v>
      </c>
      <c r="J6" s="7" t="s">
        <v>19</v>
      </c>
      <c r="K6" s="7" t="s">
        <v>20</v>
      </c>
      <c r="L6" s="12">
        <f t="shared" si="0"/>
        <v>1</v>
      </c>
      <c r="M6" s="8" t="s">
        <v>30</v>
      </c>
    </row>
    <row r="7" ht="15" customHeight="1" spans="1:13">
      <c r="A7" s="5" t="s">
        <v>31</v>
      </c>
      <c r="B7" s="6" t="s">
        <v>32</v>
      </c>
      <c r="C7" s="6" t="s">
        <v>33</v>
      </c>
      <c r="D7" s="5" t="s">
        <v>34</v>
      </c>
      <c r="E7" s="9">
        <v>2</v>
      </c>
      <c r="F7" s="9"/>
      <c r="G7" s="5" t="s">
        <v>19</v>
      </c>
      <c r="H7" s="5" t="s">
        <v>35</v>
      </c>
      <c r="I7" s="5" t="s">
        <v>19</v>
      </c>
      <c r="J7" s="5" t="s">
        <v>35</v>
      </c>
      <c r="K7" s="5" t="s">
        <v>20</v>
      </c>
      <c r="L7" s="11">
        <f t="shared" si="0"/>
        <v>1</v>
      </c>
      <c r="M7" s="6" t="s">
        <v>36</v>
      </c>
    </row>
    <row r="8" ht="15" customHeight="1" spans="1:13">
      <c r="A8" s="7" t="s">
        <v>37</v>
      </c>
      <c r="B8" s="8" t="s">
        <v>32</v>
      </c>
      <c r="C8" s="8" t="s">
        <v>38</v>
      </c>
      <c r="D8" s="5" t="s">
        <v>34</v>
      </c>
      <c r="E8" s="10">
        <v>2</v>
      </c>
      <c r="F8" s="10"/>
      <c r="G8" s="7" t="s">
        <v>19</v>
      </c>
      <c r="H8" s="7" t="s">
        <v>35</v>
      </c>
      <c r="I8" s="7" t="s">
        <v>19</v>
      </c>
      <c r="J8" s="7" t="s">
        <v>35</v>
      </c>
      <c r="K8" s="7" t="s">
        <v>20</v>
      </c>
      <c r="L8" s="12">
        <f t="shared" si="0"/>
        <v>1</v>
      </c>
      <c r="M8" s="8" t="s">
        <v>39</v>
      </c>
    </row>
    <row r="9" ht="15" customHeight="1" spans="1:13">
      <c r="A9" s="5" t="s">
        <v>40</v>
      </c>
      <c r="B9" s="6" t="s">
        <v>32</v>
      </c>
      <c r="C9" s="6" t="s">
        <v>41</v>
      </c>
      <c r="D9" s="5" t="s">
        <v>34</v>
      </c>
      <c r="E9" s="9">
        <v>2</v>
      </c>
      <c r="F9" s="9"/>
      <c r="G9" s="5" t="s">
        <v>19</v>
      </c>
      <c r="H9" s="5" t="s">
        <v>35</v>
      </c>
      <c r="I9" s="5" t="s">
        <v>19</v>
      </c>
      <c r="J9" s="5" t="s">
        <v>35</v>
      </c>
      <c r="K9" s="5" t="s">
        <v>20</v>
      </c>
      <c r="L9" s="11">
        <f t="shared" si="0"/>
        <v>1</v>
      </c>
      <c r="M9" s="6" t="s">
        <v>42</v>
      </c>
    </row>
    <row r="10" ht="15" customHeight="1" spans="1:13">
      <c r="A10" s="7" t="s">
        <v>43</v>
      </c>
      <c r="B10" s="8" t="s">
        <v>44</v>
      </c>
      <c r="C10" s="8" t="s">
        <v>45</v>
      </c>
      <c r="D10" s="7" t="s">
        <v>46</v>
      </c>
      <c r="E10" s="10">
        <v>2</v>
      </c>
      <c r="F10" s="10"/>
      <c r="G10" s="7" t="s">
        <v>35</v>
      </c>
      <c r="H10" s="7" t="s">
        <v>47</v>
      </c>
      <c r="I10" s="7" t="s">
        <v>35</v>
      </c>
      <c r="J10" s="7" t="s">
        <v>47</v>
      </c>
      <c r="K10" s="7" t="s">
        <v>20</v>
      </c>
      <c r="L10" s="12">
        <f t="shared" si="0"/>
        <v>1</v>
      </c>
      <c r="M10" s="8" t="s">
        <v>48</v>
      </c>
    </row>
    <row r="11" ht="15" customHeight="1" spans="1:13">
      <c r="A11" s="5" t="s">
        <v>49</v>
      </c>
      <c r="B11" s="6" t="s">
        <v>44</v>
      </c>
      <c r="C11" s="6" t="s">
        <v>50</v>
      </c>
      <c r="D11" s="7" t="s">
        <v>46</v>
      </c>
      <c r="E11" s="9">
        <v>2</v>
      </c>
      <c r="F11" s="9"/>
      <c r="G11" s="5" t="s">
        <v>35</v>
      </c>
      <c r="H11" s="5" t="s">
        <v>47</v>
      </c>
      <c r="I11" s="5" t="s">
        <v>35</v>
      </c>
      <c r="J11" s="5" t="s">
        <v>47</v>
      </c>
      <c r="K11" s="5" t="s">
        <v>20</v>
      </c>
      <c r="L11" s="11">
        <f t="shared" si="0"/>
        <v>1</v>
      </c>
      <c r="M11" s="6" t="s">
        <v>51</v>
      </c>
    </row>
    <row r="12" ht="15" customHeight="1" spans="1:13">
      <c r="A12" s="7" t="s">
        <v>52</v>
      </c>
      <c r="B12" s="8" t="s">
        <v>44</v>
      </c>
      <c r="C12" s="8" t="s">
        <v>53</v>
      </c>
      <c r="D12" s="7" t="s">
        <v>46</v>
      </c>
      <c r="E12" s="10">
        <v>2</v>
      </c>
      <c r="F12" s="10"/>
      <c r="G12" s="7" t="s">
        <v>35</v>
      </c>
      <c r="H12" s="7" t="s">
        <v>47</v>
      </c>
      <c r="I12" s="7" t="s">
        <v>35</v>
      </c>
      <c r="J12" s="7" t="s">
        <v>47</v>
      </c>
      <c r="K12" s="7" t="s">
        <v>20</v>
      </c>
      <c r="L12" s="12">
        <f t="shared" si="0"/>
        <v>1</v>
      </c>
      <c r="M12" s="8" t="s">
        <v>54</v>
      </c>
    </row>
    <row r="13" ht="15" customHeight="1" spans="1:13">
      <c r="A13" s="5" t="s">
        <v>55</v>
      </c>
      <c r="B13" s="6" t="s">
        <v>44</v>
      </c>
      <c r="C13" s="6" t="s">
        <v>56</v>
      </c>
      <c r="D13" s="7" t="s">
        <v>46</v>
      </c>
      <c r="E13" s="9">
        <v>1</v>
      </c>
      <c r="F13" s="9"/>
      <c r="G13" s="5" t="s">
        <v>35</v>
      </c>
      <c r="H13" s="5" t="s">
        <v>47</v>
      </c>
      <c r="I13" s="5" t="s">
        <v>35</v>
      </c>
      <c r="J13" s="5" t="s">
        <v>47</v>
      </c>
      <c r="K13" s="5" t="s">
        <v>20</v>
      </c>
      <c r="L13" s="11">
        <f t="shared" si="0"/>
        <v>1</v>
      </c>
      <c r="M13" s="6" t="s">
        <v>57</v>
      </c>
    </row>
    <row r="14" ht="15" customHeight="1" spans="1:13">
      <c r="A14" s="7" t="s">
        <v>58</v>
      </c>
      <c r="B14" s="8" t="s">
        <v>59</v>
      </c>
      <c r="C14" s="8" t="s">
        <v>60</v>
      </c>
      <c r="D14" s="7" t="s">
        <v>61</v>
      </c>
      <c r="E14" s="10">
        <v>2</v>
      </c>
      <c r="F14" s="10"/>
      <c r="G14" s="7" t="s">
        <v>62</v>
      </c>
      <c r="H14" s="7" t="s">
        <v>63</v>
      </c>
      <c r="I14" s="7" t="s">
        <v>62</v>
      </c>
      <c r="J14" s="7" t="s">
        <v>63</v>
      </c>
      <c r="K14" s="7" t="s">
        <v>20</v>
      </c>
      <c r="L14" s="12">
        <f t="shared" si="0"/>
        <v>1</v>
      </c>
      <c r="M14" s="8" t="s">
        <v>64</v>
      </c>
    </row>
    <row r="15" ht="15" customHeight="1" spans="1:13">
      <c r="A15" s="5" t="s">
        <v>65</v>
      </c>
      <c r="B15" s="6" t="s">
        <v>59</v>
      </c>
      <c r="C15" s="6" t="s">
        <v>66</v>
      </c>
      <c r="D15" s="7" t="s">
        <v>61</v>
      </c>
      <c r="E15" s="9">
        <v>3</v>
      </c>
      <c r="F15" s="9"/>
      <c r="G15" s="5" t="s">
        <v>62</v>
      </c>
      <c r="H15" s="5" t="s">
        <v>63</v>
      </c>
      <c r="I15" s="5" t="s">
        <v>62</v>
      </c>
      <c r="J15" s="5" t="s">
        <v>63</v>
      </c>
      <c r="K15" s="5" t="s">
        <v>20</v>
      </c>
      <c r="L15" s="11">
        <f t="shared" si="0"/>
        <v>1</v>
      </c>
      <c r="M15" s="6" t="s">
        <v>67</v>
      </c>
    </row>
    <row r="16" ht="15" customHeight="1" spans="1:13">
      <c r="A16" s="7">
        <v>14</v>
      </c>
      <c r="B16" s="8" t="s">
        <v>59</v>
      </c>
      <c r="C16" s="8" t="s">
        <v>68</v>
      </c>
      <c r="D16" s="7" t="s">
        <v>61</v>
      </c>
      <c r="E16" s="10">
        <v>2</v>
      </c>
      <c r="F16" s="10"/>
      <c r="G16" s="7" t="s">
        <v>62</v>
      </c>
      <c r="H16" s="7" t="s">
        <v>63</v>
      </c>
      <c r="I16" s="7" t="s">
        <v>62</v>
      </c>
      <c r="J16" s="7" t="s">
        <v>63</v>
      </c>
      <c r="K16" s="7" t="s">
        <v>20</v>
      </c>
      <c r="L16" s="12">
        <f t="shared" si="0"/>
        <v>1</v>
      </c>
      <c r="M16" s="8" t="s">
        <v>69</v>
      </c>
    </row>
    <row r="17" ht="15" customHeight="1" spans="1:13">
      <c r="A17" s="5" t="s">
        <v>70</v>
      </c>
      <c r="B17" s="6" t="s">
        <v>59</v>
      </c>
      <c r="C17" s="6" t="s">
        <v>71</v>
      </c>
      <c r="D17" s="7" t="s">
        <v>61</v>
      </c>
      <c r="E17" s="9">
        <v>2</v>
      </c>
      <c r="F17" s="9"/>
      <c r="G17" s="5" t="s">
        <v>62</v>
      </c>
      <c r="H17" s="5" t="s">
        <v>63</v>
      </c>
      <c r="I17" s="5" t="s">
        <v>62</v>
      </c>
      <c r="J17" s="5" t="s">
        <v>63</v>
      </c>
      <c r="K17" s="5" t="s">
        <v>20</v>
      </c>
      <c r="L17" s="11">
        <f t="shared" si="0"/>
        <v>1</v>
      </c>
      <c r="M17" s="6" t="s">
        <v>72</v>
      </c>
    </row>
    <row r="18" ht="15" customHeight="1" spans="1:13">
      <c r="A18" s="7">
        <v>16</v>
      </c>
      <c r="B18" s="8" t="s">
        <v>73</v>
      </c>
      <c r="C18" s="8" t="s">
        <v>74</v>
      </c>
      <c r="D18" s="7" t="s">
        <v>46</v>
      </c>
      <c r="E18" s="10">
        <v>1</v>
      </c>
      <c r="F18" s="10"/>
      <c r="G18" s="7" t="s">
        <v>63</v>
      </c>
      <c r="H18" s="7" t="s">
        <v>75</v>
      </c>
      <c r="I18" s="7" t="s">
        <v>63</v>
      </c>
      <c r="J18" s="7" t="s">
        <v>75</v>
      </c>
      <c r="K18" s="7" t="s">
        <v>20</v>
      </c>
      <c r="L18" s="11">
        <f t="shared" si="0"/>
        <v>1</v>
      </c>
      <c r="M18" s="8" t="s">
        <v>76</v>
      </c>
    </row>
    <row r="19" ht="15" customHeight="1" spans="1:13">
      <c r="A19" s="5" t="s">
        <v>77</v>
      </c>
      <c r="B19" s="6" t="s">
        <v>73</v>
      </c>
      <c r="C19" s="8" t="s">
        <v>78</v>
      </c>
      <c r="D19" s="7" t="s">
        <v>46</v>
      </c>
      <c r="E19" s="9">
        <v>2</v>
      </c>
      <c r="F19" s="9"/>
      <c r="G19" s="5" t="s">
        <v>63</v>
      </c>
      <c r="H19" s="5" t="s">
        <v>75</v>
      </c>
      <c r="I19" s="5" t="s">
        <v>63</v>
      </c>
      <c r="J19" s="5" t="s">
        <v>75</v>
      </c>
      <c r="K19" s="5" t="s">
        <v>20</v>
      </c>
      <c r="L19" s="11">
        <f t="shared" si="0"/>
        <v>1</v>
      </c>
      <c r="M19" s="6" t="s">
        <v>79</v>
      </c>
    </row>
    <row r="20" ht="15" customHeight="1" spans="1:13">
      <c r="A20" s="7">
        <v>18</v>
      </c>
      <c r="B20" s="8" t="s">
        <v>73</v>
      </c>
      <c r="C20" s="8" t="s">
        <v>80</v>
      </c>
      <c r="D20" s="7" t="s">
        <v>46</v>
      </c>
      <c r="E20" s="10">
        <v>1</v>
      </c>
      <c r="F20" s="10"/>
      <c r="G20" s="7" t="s">
        <v>63</v>
      </c>
      <c r="H20" s="7" t="s">
        <v>75</v>
      </c>
      <c r="I20" s="7" t="s">
        <v>63</v>
      </c>
      <c r="J20" s="7" t="s">
        <v>75</v>
      </c>
      <c r="K20" s="7" t="s">
        <v>20</v>
      </c>
      <c r="L20" s="11">
        <f t="shared" si="0"/>
        <v>1</v>
      </c>
      <c r="M20" s="8" t="s">
        <v>79</v>
      </c>
    </row>
    <row r="21" ht="15" customHeight="1" spans="1:13">
      <c r="A21" s="5" t="s">
        <v>81</v>
      </c>
      <c r="B21" s="6" t="s">
        <v>73</v>
      </c>
      <c r="C21" s="8" t="s">
        <v>82</v>
      </c>
      <c r="D21" s="7" t="s">
        <v>46</v>
      </c>
      <c r="E21" s="9">
        <v>2</v>
      </c>
      <c r="F21" s="9"/>
      <c r="G21" s="5" t="s">
        <v>63</v>
      </c>
      <c r="H21" s="5" t="s">
        <v>75</v>
      </c>
      <c r="I21" s="5" t="s">
        <v>63</v>
      </c>
      <c r="J21" s="5" t="s">
        <v>75</v>
      </c>
      <c r="K21" s="5" t="s">
        <v>20</v>
      </c>
      <c r="L21" s="11">
        <f t="shared" si="0"/>
        <v>1</v>
      </c>
      <c r="M21" s="6" t="s">
        <v>79</v>
      </c>
    </row>
    <row r="22" ht="15" customHeight="1" spans="1:13">
      <c r="A22" s="7">
        <v>20</v>
      </c>
      <c r="B22" s="8" t="s">
        <v>83</v>
      </c>
      <c r="C22" s="8" t="s">
        <v>84</v>
      </c>
      <c r="D22" s="7" t="s">
        <v>85</v>
      </c>
      <c r="E22" s="10">
        <v>2</v>
      </c>
      <c r="F22" s="10"/>
      <c r="G22" s="7" t="s">
        <v>75</v>
      </c>
      <c r="H22" s="7" t="s">
        <v>86</v>
      </c>
      <c r="I22" s="7" t="s">
        <v>75</v>
      </c>
      <c r="J22" s="7" t="s">
        <v>86</v>
      </c>
      <c r="K22" s="7" t="s">
        <v>20</v>
      </c>
      <c r="L22" s="12">
        <f t="shared" si="0"/>
        <v>1</v>
      </c>
      <c r="M22" s="8" t="s">
        <v>87</v>
      </c>
    </row>
    <row r="23" ht="15" customHeight="1" spans="1:13">
      <c r="A23" s="5" t="s">
        <v>88</v>
      </c>
      <c r="B23" s="6" t="s">
        <v>83</v>
      </c>
      <c r="C23" s="6" t="s">
        <v>89</v>
      </c>
      <c r="D23" s="7" t="s">
        <v>85</v>
      </c>
      <c r="E23" s="9">
        <v>1</v>
      </c>
      <c r="F23" s="9"/>
      <c r="G23" s="5" t="s">
        <v>75</v>
      </c>
      <c r="H23" s="5" t="s">
        <v>86</v>
      </c>
      <c r="I23" s="5" t="s">
        <v>75</v>
      </c>
      <c r="J23" s="5" t="s">
        <v>86</v>
      </c>
      <c r="K23" s="5" t="s">
        <v>20</v>
      </c>
      <c r="L23" s="11">
        <f t="shared" si="0"/>
        <v>1</v>
      </c>
      <c r="M23" s="6" t="s">
        <v>90</v>
      </c>
    </row>
    <row r="24" ht="15" customHeight="1" spans="1:13">
      <c r="A24" s="7">
        <v>22</v>
      </c>
      <c r="B24" s="8" t="s">
        <v>83</v>
      </c>
      <c r="C24" s="8" t="s">
        <v>91</v>
      </c>
      <c r="D24" s="7" t="s">
        <v>85</v>
      </c>
      <c r="E24" s="10">
        <v>2</v>
      </c>
      <c r="F24" s="10"/>
      <c r="G24" s="7" t="s">
        <v>75</v>
      </c>
      <c r="H24" s="7" t="s">
        <v>86</v>
      </c>
      <c r="I24" s="7" t="s">
        <v>75</v>
      </c>
      <c r="J24" s="7" t="s">
        <v>86</v>
      </c>
      <c r="K24" s="7" t="s">
        <v>20</v>
      </c>
      <c r="L24" s="12">
        <f t="shared" si="0"/>
        <v>1</v>
      </c>
      <c r="M24" s="8" t="s">
        <v>92</v>
      </c>
    </row>
    <row r="25" ht="15" customHeight="1" spans="1:13">
      <c r="A25" s="5" t="s">
        <v>93</v>
      </c>
      <c r="B25" s="6" t="s">
        <v>94</v>
      </c>
      <c r="C25" s="6" t="s">
        <v>95</v>
      </c>
      <c r="D25" s="5" t="s">
        <v>17</v>
      </c>
      <c r="E25" s="9">
        <v>1</v>
      </c>
      <c r="F25" s="9"/>
      <c r="G25" s="5" t="s">
        <v>86</v>
      </c>
      <c r="H25" s="5" t="s">
        <v>96</v>
      </c>
      <c r="I25" s="5" t="s">
        <v>86</v>
      </c>
      <c r="J25" s="5" t="s">
        <v>96</v>
      </c>
      <c r="K25" s="5" t="s">
        <v>20</v>
      </c>
      <c r="L25" s="11">
        <f t="shared" si="0"/>
        <v>1</v>
      </c>
      <c r="M25" s="6" t="s">
        <v>97</v>
      </c>
    </row>
    <row r="26" ht="15" customHeight="1" spans="1:13">
      <c r="A26" s="7">
        <v>24</v>
      </c>
      <c r="B26" s="8" t="s">
        <v>94</v>
      </c>
      <c r="C26" s="8" t="s">
        <v>98</v>
      </c>
      <c r="D26" s="5" t="s">
        <v>17</v>
      </c>
      <c r="E26" s="10">
        <v>3</v>
      </c>
      <c r="F26" s="10"/>
      <c r="G26" s="7" t="s">
        <v>86</v>
      </c>
      <c r="H26" s="7" t="s">
        <v>99</v>
      </c>
      <c r="I26" s="7" t="s">
        <v>86</v>
      </c>
      <c r="J26" s="7" t="s">
        <v>99</v>
      </c>
      <c r="K26" s="7" t="s">
        <v>20</v>
      </c>
      <c r="L26" s="12">
        <f t="shared" si="0"/>
        <v>1</v>
      </c>
      <c r="M26" s="8" t="s">
        <v>100</v>
      </c>
    </row>
    <row r="27" ht="15" customHeight="1" spans="1:13">
      <c r="A27" s="5" t="s">
        <v>101</v>
      </c>
      <c r="B27" s="6" t="s">
        <v>94</v>
      </c>
      <c r="C27" s="6" t="s">
        <v>102</v>
      </c>
      <c r="D27" s="5" t="s">
        <v>17</v>
      </c>
      <c r="E27" s="9">
        <v>2</v>
      </c>
      <c r="F27" s="9"/>
      <c r="G27" s="5" t="s">
        <v>86</v>
      </c>
      <c r="H27" s="5" t="s">
        <v>99</v>
      </c>
      <c r="I27" s="5" t="s">
        <v>86</v>
      </c>
      <c r="J27" s="5" t="s">
        <v>99</v>
      </c>
      <c r="K27" s="5" t="s">
        <v>20</v>
      </c>
      <c r="L27" s="11">
        <f t="shared" si="0"/>
        <v>1</v>
      </c>
      <c r="M27" s="6" t="s">
        <v>103</v>
      </c>
    </row>
    <row r="28" ht="15" customHeight="1" spans="1:13">
      <c r="A28" s="7">
        <v>26</v>
      </c>
      <c r="B28" s="8" t="s">
        <v>94</v>
      </c>
      <c r="C28" s="8" t="s">
        <v>104</v>
      </c>
      <c r="D28" s="5" t="s">
        <v>17</v>
      </c>
      <c r="E28" s="10">
        <v>3</v>
      </c>
      <c r="F28" s="10"/>
      <c r="G28" s="7" t="s">
        <v>86</v>
      </c>
      <c r="H28" s="7" t="s">
        <v>99</v>
      </c>
      <c r="I28" s="7" t="s">
        <v>86</v>
      </c>
      <c r="J28" s="7" t="s">
        <v>99</v>
      </c>
      <c r="K28" s="7" t="s">
        <v>20</v>
      </c>
      <c r="L28" s="12">
        <f t="shared" si="0"/>
        <v>1</v>
      </c>
      <c r="M28" s="8" t="s">
        <v>105</v>
      </c>
    </row>
    <row r="29" ht="15" customHeight="1" spans="1:13">
      <c r="A29" s="5" t="s">
        <v>106</v>
      </c>
      <c r="B29" s="6" t="s">
        <v>107</v>
      </c>
      <c r="C29" s="6" t="s">
        <v>108</v>
      </c>
      <c r="D29" s="5" t="s">
        <v>34</v>
      </c>
      <c r="E29" s="9">
        <v>2</v>
      </c>
      <c r="F29" s="9"/>
      <c r="G29" s="5" t="s">
        <v>109</v>
      </c>
      <c r="H29" s="5" t="s">
        <v>110</v>
      </c>
      <c r="I29" s="5" t="s">
        <v>109</v>
      </c>
      <c r="J29" s="5" t="s">
        <v>110</v>
      </c>
      <c r="K29" s="5" t="s">
        <v>20</v>
      </c>
      <c r="L29" s="11">
        <f t="shared" si="0"/>
        <v>1</v>
      </c>
      <c r="M29" s="6" t="s">
        <v>111</v>
      </c>
    </row>
    <row r="30" ht="15" customHeight="1" spans="1:13">
      <c r="A30" s="7">
        <v>28</v>
      </c>
      <c r="B30" s="8" t="s">
        <v>107</v>
      </c>
      <c r="C30" s="8" t="s">
        <v>112</v>
      </c>
      <c r="D30" s="5" t="s">
        <v>34</v>
      </c>
      <c r="E30" s="10">
        <v>3</v>
      </c>
      <c r="F30" s="10"/>
      <c r="G30" s="7" t="s">
        <v>109</v>
      </c>
      <c r="H30" s="7" t="s">
        <v>110</v>
      </c>
      <c r="I30" s="7" t="s">
        <v>109</v>
      </c>
      <c r="J30" s="7" t="s">
        <v>110</v>
      </c>
      <c r="K30" s="7" t="s">
        <v>20</v>
      </c>
      <c r="L30" s="12">
        <f t="shared" si="0"/>
        <v>1</v>
      </c>
      <c r="M30" s="8" t="s">
        <v>113</v>
      </c>
    </row>
    <row r="31" ht="15" customHeight="1" spans="1:13">
      <c r="A31" s="5" t="s">
        <v>114</v>
      </c>
      <c r="B31" s="6" t="s">
        <v>107</v>
      </c>
      <c r="C31" s="6" t="s">
        <v>115</v>
      </c>
      <c r="D31" s="5" t="s">
        <v>34</v>
      </c>
      <c r="E31" s="9">
        <v>2</v>
      </c>
      <c r="F31" s="9"/>
      <c r="G31" s="5" t="s">
        <v>109</v>
      </c>
      <c r="H31" s="5" t="s">
        <v>110</v>
      </c>
      <c r="I31" s="5" t="s">
        <v>109</v>
      </c>
      <c r="J31" s="5" t="s">
        <v>110</v>
      </c>
      <c r="K31" s="5" t="s">
        <v>20</v>
      </c>
      <c r="L31" s="11">
        <f t="shared" si="0"/>
        <v>1</v>
      </c>
      <c r="M31" s="6" t="s">
        <v>116</v>
      </c>
    </row>
    <row r="32" ht="15" customHeight="1" spans="1:13">
      <c r="A32" s="7">
        <v>30</v>
      </c>
      <c r="B32" s="8" t="s">
        <v>107</v>
      </c>
      <c r="C32" s="8" t="s">
        <v>117</v>
      </c>
      <c r="D32" s="5" t="s">
        <v>34</v>
      </c>
      <c r="E32" s="10">
        <v>1</v>
      </c>
      <c r="F32" s="10"/>
      <c r="G32" s="7" t="s">
        <v>109</v>
      </c>
      <c r="H32" s="7" t="s">
        <v>110</v>
      </c>
      <c r="I32" s="7" t="s">
        <v>109</v>
      </c>
      <c r="J32" s="7" t="s">
        <v>110</v>
      </c>
      <c r="K32" s="7" t="s">
        <v>20</v>
      </c>
      <c r="L32" s="12">
        <f t="shared" si="0"/>
        <v>1</v>
      </c>
      <c r="M32" s="8" t="s">
        <v>118</v>
      </c>
    </row>
  </sheetData>
  <mergeCells count="1">
    <mergeCell ref="A1:M1"/>
  </mergeCells>
  <conditionalFormatting sqref="L3:L32">
    <cfRule type="dataBar" priority="4">
      <dataBar>
        <cfvo type="num" val="0"/>
        <cfvo type="num" val="1"/>
        <color rgb="FFA9D08E"/>
      </dataBar>
      <extLst>
        <ext xmlns:x14="http://schemas.microsoft.com/office/spreadsheetml/2009/9/main" uri="{B025F937-C7B1-47D3-B67F-A62EFF666E3E}">
          <x14:id>{91b9b965-e057-4e3a-9c6e-a32dc039d36a}</x14:id>
        </ext>
      </extLst>
    </cfRule>
  </conditionalFormatting>
  <dataValidations count="1">
    <dataValidation type="list" allowBlank="1" showErrorMessage="1" sqref="K3:K32">
      <formula1>"未开始,进行中,已完成,延期"</formula1>
    </dataValidation>
  </dataValidations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1b9b965-e057-4e3a-9c6e-a32dc039d36a}">
            <x14:dataBar minLength="0" maxLength="100" axisPosition="none">
              <x14:cfvo type="num">
                <xm:f>0</xm:f>
              </x14:cfvo>
              <x14:cfvo type="num">
                <xm:f>1</xm:f>
              </x14:cfvo>
              <x14:negativeFillColor rgb="FFFFFFFF"/>
              <x14:axisColor indexed="65"/>
            </x14:dataBar>
          </x14:cfRule>
          <xm:sqref>L3:L32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9"/>
  <sheetViews>
    <sheetView tabSelected="1" zoomScale="80" zoomScaleNormal="80" workbookViewId="0">
      <pane xSplit="2" ySplit="2" topLeftCell="C3" activePane="bottomRight" state="frozen"/>
      <selection/>
      <selection pane="topRight"/>
      <selection pane="bottomLeft"/>
      <selection pane="bottomRight" activeCell="F8" sqref="F8"/>
    </sheetView>
  </sheetViews>
  <sheetFormatPr defaultColWidth="14" defaultRowHeight="13.2" outlineLevelCol="7"/>
  <cols>
    <col min="1" max="1" width="25" customWidth="1"/>
    <col min="2" max="2" width="30" customWidth="1"/>
    <col min="3" max="3" width="51" customWidth="1"/>
    <col min="4" max="5" width="17" customWidth="1"/>
    <col min="6" max="7" width="10" customWidth="1"/>
    <col min="8" max="8" width="17" customWidth="1"/>
  </cols>
  <sheetData>
    <row r="1" ht="38" customHeight="1" spans="1:1">
      <c r="A1" s="1" t="s">
        <v>119</v>
      </c>
    </row>
    <row r="2" ht="29" customHeight="1" spans="1:8">
      <c r="A2" s="4" t="s">
        <v>1</v>
      </c>
      <c r="B2" s="4" t="s">
        <v>120</v>
      </c>
      <c r="C2" s="4" t="s">
        <v>121</v>
      </c>
      <c r="D2" s="4" t="s">
        <v>122</v>
      </c>
      <c r="E2" s="4" t="s">
        <v>123</v>
      </c>
      <c r="F2" s="4" t="s">
        <v>4</v>
      </c>
      <c r="G2" s="4" t="s">
        <v>124</v>
      </c>
      <c r="H2" s="4" t="s">
        <v>125</v>
      </c>
    </row>
    <row r="3" ht="15" customHeight="1" spans="1:8">
      <c r="A3" s="5" t="s">
        <v>14</v>
      </c>
      <c r="B3" s="6" t="s">
        <v>126</v>
      </c>
      <c r="C3" s="6" t="s">
        <v>127</v>
      </c>
      <c r="D3" s="5" t="s">
        <v>19</v>
      </c>
      <c r="E3" s="5" t="s">
        <v>19</v>
      </c>
      <c r="F3" s="5" t="s">
        <v>34</v>
      </c>
      <c r="G3" s="5" t="s">
        <v>128</v>
      </c>
      <c r="H3" s="6"/>
    </row>
    <row r="4" ht="15" customHeight="1" spans="1:8">
      <c r="A4" s="7" t="s">
        <v>22</v>
      </c>
      <c r="B4" s="8" t="s">
        <v>129</v>
      </c>
      <c r="C4" s="8" t="s">
        <v>130</v>
      </c>
      <c r="D4" s="7" t="s">
        <v>62</v>
      </c>
      <c r="E4" s="7" t="s">
        <v>62</v>
      </c>
      <c r="F4" s="7" t="s">
        <v>85</v>
      </c>
      <c r="G4" s="7" t="s">
        <v>128</v>
      </c>
      <c r="H4" s="8"/>
    </row>
    <row r="5" ht="15" customHeight="1" spans="1:8">
      <c r="A5" s="5" t="s">
        <v>25</v>
      </c>
      <c r="B5" s="6" t="s">
        <v>131</v>
      </c>
      <c r="C5" s="6" t="s">
        <v>132</v>
      </c>
      <c r="D5" s="5" t="s">
        <v>75</v>
      </c>
      <c r="E5" s="5" t="s">
        <v>75</v>
      </c>
      <c r="F5" s="5" t="s">
        <v>61</v>
      </c>
      <c r="G5" s="5" t="s">
        <v>128</v>
      </c>
      <c r="H5" s="6"/>
    </row>
    <row r="6" ht="15" customHeight="1" spans="1:8">
      <c r="A6" s="7" t="s">
        <v>28</v>
      </c>
      <c r="B6" s="8" t="s">
        <v>133</v>
      </c>
      <c r="C6" s="8" t="s">
        <v>134</v>
      </c>
      <c r="D6" s="7" t="s">
        <v>86</v>
      </c>
      <c r="E6" s="7" t="s">
        <v>86</v>
      </c>
      <c r="F6" s="7" t="s">
        <v>17</v>
      </c>
      <c r="G6" s="7" t="s">
        <v>128</v>
      </c>
      <c r="H6" s="8"/>
    </row>
    <row r="7" ht="15" customHeight="1" spans="1:8">
      <c r="A7" s="5" t="s">
        <v>31</v>
      </c>
      <c r="B7" s="6" t="s">
        <v>135</v>
      </c>
      <c r="C7" s="6" t="s">
        <v>136</v>
      </c>
      <c r="D7" s="5" t="s">
        <v>99</v>
      </c>
      <c r="E7" s="5" t="s">
        <v>99</v>
      </c>
      <c r="F7" s="5" t="s">
        <v>46</v>
      </c>
      <c r="G7" s="5" t="s">
        <v>128</v>
      </c>
      <c r="H7" s="6"/>
    </row>
    <row r="8" ht="15" customHeight="1" spans="1:8">
      <c r="A8" s="7" t="s">
        <v>37</v>
      </c>
      <c r="B8" s="8" t="s">
        <v>137</v>
      </c>
      <c r="C8" s="8" t="s">
        <v>138</v>
      </c>
      <c r="D8" s="7" t="s">
        <v>110</v>
      </c>
      <c r="E8" s="7" t="s">
        <v>110</v>
      </c>
      <c r="F8" s="7" t="s">
        <v>85</v>
      </c>
      <c r="G8" s="7" t="s">
        <v>128</v>
      </c>
      <c r="H8" s="8"/>
    </row>
    <row r="9" ht="15" customHeight="1" spans="1:8">
      <c r="A9" s="5" t="s">
        <v>40</v>
      </c>
      <c r="B9" s="6" t="s">
        <v>139</v>
      </c>
      <c r="C9" s="6" t="s">
        <v>140</v>
      </c>
      <c r="D9" s="5"/>
      <c r="E9" s="5"/>
      <c r="F9" s="5"/>
      <c r="G9" s="5" t="s">
        <v>141</v>
      </c>
      <c r="H9" s="6"/>
    </row>
  </sheetData>
  <mergeCells count="1">
    <mergeCell ref="A1:H1"/>
  </mergeCells>
  <dataValidations count="1">
    <dataValidation type="list" allowBlank="1" showErrorMessage="1" sqref="K3:K28">
      <formula1>"未开始,进行中,已完成,延期"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11"/>
  <sheetViews>
    <sheetView topLeftCell="A4" workbookViewId="0">
      <selection activeCell="A1" sqref="A1:B1"/>
    </sheetView>
  </sheetViews>
  <sheetFormatPr defaultColWidth="14" defaultRowHeight="13.2" outlineLevelCol="1"/>
  <cols>
    <col min="1" max="1" width="31" customWidth="1"/>
    <col min="2" max="2" width="101" customWidth="1"/>
  </cols>
  <sheetData>
    <row r="1" ht="38" customHeight="1" spans="1:1">
      <c r="A1" s="1" t="s">
        <v>142</v>
      </c>
    </row>
    <row r="2" ht="57" customHeight="1" spans="1:2">
      <c r="A2" s="2" t="s">
        <v>143</v>
      </c>
      <c r="B2" s="3" t="s">
        <v>144</v>
      </c>
    </row>
    <row r="3" ht="57" customHeight="1" spans="1:2">
      <c r="A3" s="2" t="s">
        <v>145</v>
      </c>
      <c r="B3" s="3"/>
    </row>
    <row r="4" ht="57" customHeight="1" spans="1:2">
      <c r="A4" s="2" t="s">
        <v>146</v>
      </c>
      <c r="B4" s="3" t="s">
        <v>147</v>
      </c>
    </row>
    <row r="5" ht="57" customHeight="1" spans="1:2">
      <c r="A5" s="2" t="s">
        <v>148</v>
      </c>
      <c r="B5" s="3" t="s">
        <v>149</v>
      </c>
    </row>
    <row r="6" ht="57" customHeight="1" spans="1:2">
      <c r="A6" s="2" t="s">
        <v>150</v>
      </c>
      <c r="B6" s="3" t="s">
        <v>151</v>
      </c>
    </row>
    <row r="7" ht="57" customHeight="1" spans="1:2">
      <c r="A7" s="2" t="s">
        <v>152</v>
      </c>
      <c r="B7" s="3" t="s">
        <v>153</v>
      </c>
    </row>
    <row r="8" ht="57" customHeight="1" spans="1:2">
      <c r="A8" s="2" t="s">
        <v>154</v>
      </c>
      <c r="B8" s="3" t="s">
        <v>155</v>
      </c>
    </row>
    <row r="9" ht="57" customHeight="1" spans="1:2">
      <c r="A9" s="2" t="s">
        <v>156</v>
      </c>
      <c r="B9" s="3" t="s">
        <v>157</v>
      </c>
    </row>
    <row r="10" ht="57" customHeight="1" spans="1:2">
      <c r="A10" s="2" t="s">
        <v>158</v>
      </c>
      <c r="B10" s="3" t="s">
        <v>159</v>
      </c>
    </row>
    <row r="11" ht="57" customHeight="1" spans="1:2">
      <c r="A11" s="2" t="s">
        <v>160</v>
      </c>
      <c r="B11" s="3" t="s">
        <v>161</v>
      </c>
    </row>
  </sheetData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项目整体跟踪表</vt:lpstr>
      <vt:lpstr>项目里程碑进度表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跆拳道</cp:lastModifiedBy>
  <dcterms:created xsi:type="dcterms:W3CDTF">2026-05-15T02:47:00Z</dcterms:created>
  <dcterms:modified xsi:type="dcterms:W3CDTF">2026-05-22T02:29:46Z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909D476472C249319AE57F6E98A690A3_12</vt:lpwstr>
  </property>
  <property fmtid="{D5CDD505-2E9C-101B-9397-08002B2CF9AE}" pid="3" name="KSOProductBuildVer">
    <vt:lpwstr>2052-12.1.0.21915</vt:lpwstr>
  </property>
</Properties>
</file>